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1"/>
    <xf numFmtId="164" fontId="2" fillId="0" borderId="1" pivotButton="0" quotePrefix="0" xfId="1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1"/>
    <xf numFmtId="164" fontId="0" fillId="4" borderId="1" pivotButton="0" quotePrefix="0" xfId="1"/>
    <xf numFmtId="164" fontId="2" fillId="0" borderId="2" pivotButton="0" quotePrefix="0" xfId="1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2" fillId="5" borderId="1" pivotButton="0" quotePrefix="0" xfId="0"/>
    <xf numFmtId="0" fontId="2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tabSelected="1" topLeftCell="A77" zoomScale="93" zoomScaleNormal="93" workbookViewId="0">
      <selection activeCell="C90" sqref="C90"/>
    </sheetView>
  </sheetViews>
  <sheetFormatPr baseColWidth="10" defaultRowHeight="15"/>
  <cols>
    <col width="2.28515625" customWidth="1" style="19" min="1" max="1"/>
    <col width="33.42578125" customWidth="1" style="19" min="2" max="2"/>
    <col width="8.85546875" bestFit="1" customWidth="1" style="19" min="3" max="3"/>
    <col width="10.28515625" bestFit="1" customWidth="1" style="1" min="4" max="4"/>
    <col width="16.42578125" bestFit="1" customWidth="1" style="19" min="5" max="5"/>
    <col width="24.85546875" bestFit="1" customWidth="1" style="19" min="6" max="6"/>
    <col width="13" bestFit="1" customWidth="1" style="19" min="7" max="7"/>
    <col width="16.28515625" bestFit="1" customWidth="1" style="19" min="8" max="8"/>
  </cols>
  <sheetData>
    <row r="1"/>
    <row r="2">
      <c r="A2" t="inlineStr">
        <is>
          <t>SKU</t>
        </is>
      </c>
      <c r="B2" s="8" t="inlineStr">
        <is>
          <t>PRODUCTO</t>
        </is>
      </c>
      <c r="C2" s="8" t="inlineStr">
        <is>
          <t>TALLA</t>
        </is>
      </c>
      <c r="D2" s="8" t="inlineStr">
        <is>
          <t>CANTIDAD</t>
        </is>
      </c>
      <c r="E2" s="8" t="inlineStr">
        <is>
          <t>COSTO UNITARIO</t>
        </is>
      </c>
      <c r="F2" s="8" t="inlineStr">
        <is>
          <t>TOTAL COSTO INVENTARIO</t>
        </is>
      </c>
      <c r="G2" s="8" t="inlineStr">
        <is>
          <t>PVP</t>
        </is>
      </c>
      <c r="H2" s="8" t="inlineStr">
        <is>
          <t>PVP INVENTARIO</t>
        </is>
      </c>
    </row>
    <row r="3">
      <c r="A3" t="inlineStr">
        <is>
          <t>JAP-001</t>
        </is>
      </c>
      <c r="B3" s="4" t="inlineStr">
        <is>
          <t>Jersey Acanalado Punticos</t>
        </is>
      </c>
      <c r="C3" s="5" t="inlineStr">
        <is>
          <t>M</t>
        </is>
      </c>
      <c r="D3" s="5" t="n">
        <v>1</v>
      </c>
      <c r="E3" s="6" t="n">
        <v>90000</v>
      </c>
      <c r="F3" s="6">
        <f>D3*E3</f>
        <v/>
      </c>
      <c r="G3" s="6" t="n">
        <v>110000</v>
      </c>
      <c r="H3" s="6">
        <f>D3*G3</f>
        <v/>
      </c>
    </row>
    <row r="4">
      <c r="A4" t="inlineStr">
        <is>
          <t>JAC-001</t>
        </is>
      </c>
      <c r="B4" s="9" t="inlineStr">
        <is>
          <t>Jersey Acanalado Caballito</t>
        </is>
      </c>
      <c r="C4" s="10" t="inlineStr">
        <is>
          <t>XS</t>
        </is>
      </c>
      <c r="D4" s="10" t="n">
        <v>1</v>
      </c>
      <c r="E4" s="11" t="n">
        <v>90000</v>
      </c>
      <c r="F4" s="11">
        <f>D4*E4</f>
        <v/>
      </c>
      <c r="G4" s="11" t="n">
        <v>110000</v>
      </c>
      <c r="H4" s="11">
        <f>D4*G4</f>
        <v/>
      </c>
    </row>
    <row r="5">
      <c r="A5" t="inlineStr">
        <is>
          <t>JDC-001</t>
        </is>
      </c>
      <c r="B5" s="4" t="inlineStr">
        <is>
          <t>Jersey Dryfit Caballito</t>
        </is>
      </c>
      <c r="C5" s="5" t="inlineStr">
        <is>
          <t>M</t>
        </is>
      </c>
      <c r="D5" s="5" t="n">
        <v>1</v>
      </c>
      <c r="E5" s="6" t="n">
        <v>42000</v>
      </c>
      <c r="F5" s="6">
        <f>D5*E5</f>
        <v/>
      </c>
      <c r="G5" s="6" t="n">
        <v>70000</v>
      </c>
      <c r="H5" s="6">
        <f>D5*G5</f>
        <v/>
      </c>
    </row>
    <row r="6">
      <c r="A6" t="inlineStr">
        <is>
          <t>JMN-001</t>
        </is>
      </c>
      <c r="B6" s="9" t="inlineStr">
        <is>
          <t>Jersey Microperforado Nuevo</t>
        </is>
      </c>
      <c r="C6" s="10" t="inlineStr">
        <is>
          <t>S</t>
        </is>
      </c>
      <c r="D6" s="10" t="n">
        <v>9</v>
      </c>
      <c r="E6" s="11" t="n">
        <v>50000</v>
      </c>
      <c r="F6" s="11">
        <f>D6*E6</f>
        <v/>
      </c>
      <c r="G6" s="11" t="n">
        <v>80000</v>
      </c>
      <c r="H6" s="11">
        <f>D6*G6</f>
        <v/>
      </c>
    </row>
    <row r="7">
      <c r="A7" t="inlineStr">
        <is>
          <t>JMN-001</t>
        </is>
      </c>
      <c r="B7" s="4" t="inlineStr">
        <is>
          <t>Jersey Microperforado Nuevo</t>
        </is>
      </c>
      <c r="C7" s="5" t="inlineStr">
        <is>
          <t>M</t>
        </is>
      </c>
      <c r="D7" s="5" t="n">
        <v>9</v>
      </c>
      <c r="E7" s="6" t="n">
        <v>50000</v>
      </c>
      <c r="F7" s="6">
        <f>D7*E7</f>
        <v/>
      </c>
      <c r="G7" s="6" t="n">
        <v>80000</v>
      </c>
      <c r="H7" s="6">
        <f>D7*G7</f>
        <v/>
      </c>
    </row>
    <row r="8">
      <c r="A8" t="inlineStr">
        <is>
          <t>JMN-001</t>
        </is>
      </c>
      <c r="B8" s="9" t="inlineStr">
        <is>
          <t>Jersey Microperforado Nuevo</t>
        </is>
      </c>
      <c r="C8" s="10" t="inlineStr">
        <is>
          <t>L</t>
        </is>
      </c>
      <c r="D8" s="10" t="n">
        <v>13</v>
      </c>
      <c r="E8" s="11" t="n">
        <v>50000</v>
      </c>
      <c r="F8" s="11">
        <f>D8*E8</f>
        <v/>
      </c>
      <c r="G8" s="11" t="n">
        <v>80000</v>
      </c>
      <c r="H8" s="11">
        <f>D8*G8</f>
        <v/>
      </c>
    </row>
    <row r="9">
      <c r="A9" t="inlineStr">
        <is>
          <t>JMN-001</t>
        </is>
      </c>
      <c r="B9" s="4" t="inlineStr">
        <is>
          <t>Jersey Microperforado Nuevo</t>
        </is>
      </c>
      <c r="C9" s="5" t="inlineStr">
        <is>
          <t>XL</t>
        </is>
      </c>
      <c r="D9" s="5" t="n">
        <v>3</v>
      </c>
      <c r="E9" s="6" t="n">
        <v>50000</v>
      </c>
      <c r="F9" s="6">
        <f>D9*E9</f>
        <v/>
      </c>
      <c r="G9" s="6" t="n">
        <v>80000</v>
      </c>
      <c r="H9" s="6">
        <f>D9*G9</f>
        <v/>
      </c>
    </row>
    <row r="10">
      <c r="A10" t="inlineStr">
        <is>
          <t>JMN-001</t>
        </is>
      </c>
      <c r="B10" s="9" t="inlineStr">
        <is>
          <t>Jersey Microperforado Nuevo</t>
        </is>
      </c>
      <c r="C10" s="10" t="inlineStr">
        <is>
          <t>2XL</t>
        </is>
      </c>
      <c r="D10" s="10" t="n">
        <v>4</v>
      </c>
      <c r="E10" s="11" t="n">
        <v>54000</v>
      </c>
      <c r="F10" s="11">
        <f>D10*E10</f>
        <v/>
      </c>
      <c r="G10" s="11" t="n">
        <v>90000</v>
      </c>
      <c r="H10" s="11">
        <f>D10*G10</f>
        <v/>
      </c>
    </row>
    <row r="11">
      <c r="A11" t="inlineStr">
        <is>
          <t>JMN-001</t>
        </is>
      </c>
      <c r="B11" s="4" t="inlineStr">
        <is>
          <t>Jersey Microperforado Nuevo</t>
        </is>
      </c>
      <c r="C11" s="5" t="inlineStr">
        <is>
          <t>3XL</t>
        </is>
      </c>
      <c r="D11" s="5" t="n">
        <v>2</v>
      </c>
      <c r="E11" s="6" t="n">
        <v>54000</v>
      </c>
      <c r="F11" s="6">
        <f>D11*E11</f>
        <v/>
      </c>
      <c r="G11" s="6" t="n">
        <v>90000</v>
      </c>
      <c r="H11" s="6">
        <f>D11*G11</f>
        <v/>
      </c>
    </row>
    <row r="12">
      <c r="A12" t="inlineStr">
        <is>
          <t>CAT-001</t>
        </is>
      </c>
      <c r="B12" s="9" t="inlineStr">
        <is>
          <t>Camiseta Atardecer</t>
        </is>
      </c>
      <c r="C12" s="10" t="inlineStr">
        <is>
          <t>L</t>
        </is>
      </c>
      <c r="D12" s="10" t="n">
        <v>3</v>
      </c>
      <c r="E12" s="11" t="n">
        <v>45000</v>
      </c>
      <c r="F12" s="11">
        <f>D12*E12</f>
        <v/>
      </c>
      <c r="G12" s="11" t="n">
        <v>70000</v>
      </c>
      <c r="H12" s="11">
        <f>D12*G12</f>
        <v/>
      </c>
    </row>
    <row r="13">
      <c r="A13" t="inlineStr">
        <is>
          <t>CAT-001</t>
        </is>
      </c>
      <c r="B13" s="4" t="inlineStr">
        <is>
          <t>Camiseta Atardecer</t>
        </is>
      </c>
      <c r="C13" s="5" t="inlineStr">
        <is>
          <t>XL</t>
        </is>
      </c>
      <c r="D13" s="5" t="n">
        <v>4</v>
      </c>
      <c r="E13" s="6" t="n">
        <v>45000</v>
      </c>
      <c r="F13" s="6">
        <f>D13*E13</f>
        <v/>
      </c>
      <c r="G13" s="6" t="n">
        <v>70000</v>
      </c>
      <c r="H13" s="6">
        <f>D13*G13</f>
        <v/>
      </c>
    </row>
    <row r="14">
      <c r="A14" t="inlineStr">
        <is>
          <t>CAT-001</t>
        </is>
      </c>
      <c r="B14" s="9" t="inlineStr">
        <is>
          <t>Camiseta Atardecer</t>
        </is>
      </c>
      <c r="C14" s="10" t="inlineStr">
        <is>
          <t>2XL</t>
        </is>
      </c>
      <c r="D14" s="10" t="n">
        <v>1</v>
      </c>
      <c r="E14" s="11" t="n">
        <v>50000</v>
      </c>
      <c r="F14" s="11">
        <f>D14*E14</f>
        <v/>
      </c>
      <c r="G14" s="11" t="n">
        <v>80000</v>
      </c>
      <c r="H14" s="11">
        <f>D14*G14</f>
        <v/>
      </c>
    </row>
    <row r="15">
      <c r="A15" t="inlineStr">
        <is>
          <t>CAT-001</t>
        </is>
      </c>
      <c r="B15" s="4" t="inlineStr">
        <is>
          <t>Camiseta Atardecer</t>
        </is>
      </c>
      <c r="C15" s="5" t="inlineStr">
        <is>
          <t>3XL</t>
        </is>
      </c>
      <c r="D15" s="5" t="n">
        <v>1</v>
      </c>
      <c r="E15" s="6" t="n">
        <v>50000</v>
      </c>
      <c r="F15" s="6">
        <f>D15*E15</f>
        <v/>
      </c>
      <c r="G15" s="6" t="n">
        <v>80000</v>
      </c>
      <c r="H15" s="6">
        <f>D15*G15</f>
        <v/>
      </c>
    </row>
    <row r="16">
      <c r="A16" t="inlineStr">
        <is>
          <t>CMU-001</t>
        </is>
      </c>
      <c r="B16" s="9" t="inlineStr">
        <is>
          <t>Camiseta Multipropósito</t>
        </is>
      </c>
      <c r="C16" s="10" t="inlineStr">
        <is>
          <t>L</t>
        </is>
      </c>
      <c r="D16" s="10" t="n">
        <v>1</v>
      </c>
      <c r="E16" s="11" t="n">
        <v>45000</v>
      </c>
      <c r="F16" s="11">
        <f>D16*E16</f>
        <v/>
      </c>
      <c r="G16" s="11" t="n">
        <v>70000</v>
      </c>
      <c r="H16" s="11">
        <f>D16*G16</f>
        <v/>
      </c>
    </row>
    <row r="17">
      <c r="A17" t="inlineStr">
        <is>
          <t>CMU-001</t>
        </is>
      </c>
      <c r="B17" s="4" t="inlineStr">
        <is>
          <t>Camiseta Multipropósito</t>
        </is>
      </c>
      <c r="C17" s="5" t="inlineStr">
        <is>
          <t>XL</t>
        </is>
      </c>
      <c r="D17" s="5" t="n">
        <v>1</v>
      </c>
      <c r="E17" s="6" t="n">
        <v>45000</v>
      </c>
      <c r="F17" s="6">
        <f>D17*E17</f>
        <v/>
      </c>
      <c r="G17" s="6" t="n">
        <v>70000</v>
      </c>
      <c r="H17" s="6">
        <f>D17*G17</f>
        <v/>
      </c>
    </row>
    <row r="18">
      <c r="A18" t="inlineStr">
        <is>
          <t>CCH-001</t>
        </is>
      </c>
      <c r="B18" s="9" t="inlineStr">
        <is>
          <t>Camiseta Chamey</t>
        </is>
      </c>
      <c r="C18" s="10" t="inlineStr">
        <is>
          <t>XL</t>
        </is>
      </c>
      <c r="D18" s="10" t="n">
        <v>2</v>
      </c>
      <c r="E18" s="11" t="n">
        <v>45000</v>
      </c>
      <c r="F18" s="11">
        <f>D18*E18</f>
        <v/>
      </c>
      <c r="G18" s="11" t="n">
        <v>70000</v>
      </c>
      <c r="H18" s="11">
        <f>D18*G18</f>
        <v/>
      </c>
    </row>
    <row r="19">
      <c r="A19" t="inlineStr">
        <is>
          <t>CCH-001</t>
        </is>
      </c>
      <c r="B19" s="4" t="inlineStr">
        <is>
          <t>Camiseta Chamey</t>
        </is>
      </c>
      <c r="C19" s="5" t="inlineStr">
        <is>
          <t>2XL</t>
        </is>
      </c>
      <c r="D19" s="5" t="n">
        <v>2</v>
      </c>
      <c r="E19" s="6" t="n">
        <v>50000</v>
      </c>
      <c r="F19" s="6">
        <f>D19*E19</f>
        <v/>
      </c>
      <c r="G19" s="6" t="n">
        <v>80000</v>
      </c>
      <c r="H19" s="6">
        <f>D19*G19</f>
        <v/>
      </c>
    </row>
    <row r="20">
      <c r="A20" t="inlineStr">
        <is>
          <t>GPL-001</t>
        </is>
      </c>
      <c r="B20" s="9" t="inlineStr">
        <is>
          <t>Gorra Placa</t>
        </is>
      </c>
      <c r="C20" s="10" t="inlineStr">
        <is>
          <t>N/A</t>
        </is>
      </c>
      <c r="D20" s="10" t="n">
        <v>1</v>
      </c>
      <c r="E20" s="11" t="n">
        <v>45000</v>
      </c>
      <c r="F20" s="11">
        <f>D20*E20</f>
        <v/>
      </c>
      <c r="G20" s="11" t="n">
        <v>55000</v>
      </c>
      <c r="H20" s="11">
        <f>D20*G20</f>
        <v/>
      </c>
    </row>
    <row r="21">
      <c r="A21" t="inlineStr">
        <is>
          <t>GPU-001</t>
        </is>
      </c>
      <c r="B21" s="4" t="inlineStr">
        <is>
          <t>Gorra Punticos</t>
        </is>
      </c>
      <c r="C21" s="5" t="inlineStr">
        <is>
          <t>N/A</t>
        </is>
      </c>
      <c r="D21" s="5">
        <f>18+3</f>
        <v/>
      </c>
      <c r="E21" s="6" t="n">
        <v>26000</v>
      </c>
      <c r="F21" s="6">
        <f>D21*E21</f>
        <v/>
      </c>
      <c r="G21" s="6" t="n">
        <v>45000</v>
      </c>
      <c r="H21" s="6">
        <f>D21*G21</f>
        <v/>
      </c>
    </row>
    <row r="22">
      <c r="A22" t="inlineStr">
        <is>
          <t>BIL-001</t>
        </is>
      </c>
      <c r="B22" s="9" t="inlineStr">
        <is>
          <t>Billetera Antirrobo</t>
        </is>
      </c>
      <c r="C22" s="10" t="inlineStr">
        <is>
          <t>N/A</t>
        </is>
      </c>
      <c r="D22" s="10" t="n">
        <v>4</v>
      </c>
      <c r="E22" s="11" t="n">
        <v>32000</v>
      </c>
      <c r="F22" s="11">
        <f>D22*E22</f>
        <v/>
      </c>
      <c r="G22" s="11" t="n">
        <v>60000</v>
      </c>
      <c r="H22" s="11">
        <f>D22*G22</f>
        <v/>
      </c>
    </row>
    <row r="23">
      <c r="A23" t="inlineStr">
        <is>
          <t>MOR-001</t>
        </is>
      </c>
      <c r="B23" s="4" t="inlineStr">
        <is>
          <t>Morral 10Lts</t>
        </is>
      </c>
      <c r="C23" s="5" t="inlineStr">
        <is>
          <t>N/A</t>
        </is>
      </c>
      <c r="D23" s="5" t="n">
        <v>4</v>
      </c>
      <c r="E23" s="6" t="n">
        <v>45000</v>
      </c>
      <c r="F23" s="6">
        <f>D23*E23</f>
        <v/>
      </c>
      <c r="G23" s="6" t="n">
        <v>60000</v>
      </c>
      <c r="H23" s="6">
        <f>D23*G23</f>
        <v/>
      </c>
    </row>
    <row r="24">
      <c r="A24" t="inlineStr">
        <is>
          <t>BAN-001</t>
        </is>
      </c>
      <c r="B24" s="9" t="inlineStr">
        <is>
          <t>Banderín</t>
        </is>
      </c>
      <c r="C24" s="10" t="inlineStr">
        <is>
          <t>N/A</t>
        </is>
      </c>
      <c r="D24" s="10" t="n">
        <v>14</v>
      </c>
      <c r="E24" s="11" t="n">
        <v>21000</v>
      </c>
      <c r="F24" s="11">
        <f>D24*E24</f>
        <v/>
      </c>
      <c r="G24" s="11" t="n">
        <v>35000</v>
      </c>
      <c r="H24" s="11">
        <f>D24*G24</f>
        <v/>
      </c>
    </row>
    <row r="25">
      <c r="A25" t="inlineStr">
        <is>
          <t>PAR-001</t>
        </is>
      </c>
      <c r="B25" s="4" t="inlineStr">
        <is>
          <t>Parches</t>
        </is>
      </c>
      <c r="C25" s="5" t="inlineStr">
        <is>
          <t>N/A</t>
        </is>
      </c>
      <c r="D25" s="5" t="n">
        <v>35</v>
      </c>
      <c r="E25" s="6" t="n">
        <v>8000</v>
      </c>
      <c r="F25" s="6">
        <f>D25*E25</f>
        <v/>
      </c>
      <c r="G25" s="6" t="n">
        <v>15000</v>
      </c>
      <c r="H25" s="6">
        <f>D25*G25</f>
        <v/>
      </c>
    </row>
    <row r="26">
      <c r="A26" t="inlineStr">
        <is>
          <t>CDU-001</t>
        </is>
      </c>
      <c r="B26" s="9" t="inlineStr">
        <is>
          <t>Calca DTF-UV</t>
        </is>
      </c>
      <c r="C26" s="10" t="inlineStr">
        <is>
          <t>Pequeña</t>
        </is>
      </c>
      <c r="D26" s="10" t="n">
        <v>55</v>
      </c>
      <c r="E26" s="11" t="n">
        <v>1181</v>
      </c>
      <c r="F26" s="11">
        <f>D26*E26</f>
        <v/>
      </c>
      <c r="G26" s="11" t="n">
        <v>2500</v>
      </c>
      <c r="H26" s="11">
        <f>D26*G26</f>
        <v/>
      </c>
    </row>
    <row r="27">
      <c r="A27" t="inlineStr">
        <is>
          <t>CDU-001</t>
        </is>
      </c>
      <c r="B27" s="4" t="inlineStr">
        <is>
          <t>Calca DTF-UV</t>
        </is>
      </c>
      <c r="C27" s="5" t="inlineStr">
        <is>
          <t>Grande</t>
        </is>
      </c>
      <c r="D27" s="5" t="n">
        <v>4</v>
      </c>
      <c r="E27" s="6" t="n">
        <v>8333</v>
      </c>
      <c r="F27" s="6">
        <f>D27*E27</f>
        <v/>
      </c>
      <c r="G27" s="6" t="n">
        <v>20000</v>
      </c>
      <c r="H27" s="6">
        <f>D27*G27</f>
        <v/>
      </c>
    </row>
    <row r="28">
      <c r="A28" t="inlineStr">
        <is>
          <t>PIN-001</t>
        </is>
      </c>
      <c r="B28" s="9" t="inlineStr">
        <is>
          <t>Pines</t>
        </is>
      </c>
      <c r="C28" s="10" t="inlineStr">
        <is>
          <t>N/A</t>
        </is>
      </c>
      <c r="D28" s="10">
        <f>6+8</f>
        <v/>
      </c>
      <c r="E28" s="11" t="n">
        <v>10000</v>
      </c>
      <c r="F28" s="11">
        <f>D28*E28</f>
        <v/>
      </c>
      <c r="G28" s="11" t="n">
        <v>20000</v>
      </c>
      <c r="H28" s="11">
        <f>D28*G28</f>
        <v/>
      </c>
    </row>
    <row r="29">
      <c r="A29" t="inlineStr">
        <is>
          <t>BFN-001</t>
        </is>
      </c>
      <c r="B29" s="4" t="inlineStr">
        <is>
          <t>Buff Nuevo</t>
        </is>
      </c>
      <c r="C29" s="5" t="inlineStr">
        <is>
          <t>Corto</t>
        </is>
      </c>
      <c r="D29" s="5" t="n">
        <v>6</v>
      </c>
      <c r="E29" s="6" t="n">
        <v>16000</v>
      </c>
      <c r="F29" s="6">
        <f>D29*E29</f>
        <v/>
      </c>
      <c r="G29" s="6" t="n">
        <v>25000</v>
      </c>
      <c r="H29" s="6">
        <f>D29*G29</f>
        <v/>
      </c>
    </row>
    <row r="30">
      <c r="A30" t="inlineStr">
        <is>
          <t>BFN-001</t>
        </is>
      </c>
      <c r="B30" s="9" t="inlineStr">
        <is>
          <t>Buff Nuevo</t>
        </is>
      </c>
      <c r="C30" s="10" t="inlineStr">
        <is>
          <t>Largo</t>
        </is>
      </c>
      <c r="D30" s="10" t="n">
        <v>1</v>
      </c>
      <c r="E30" s="11" t="n">
        <v>25000</v>
      </c>
      <c r="F30" s="11">
        <f>D30*E30</f>
        <v/>
      </c>
      <c r="G30" s="11" t="n">
        <v>35000</v>
      </c>
      <c r="H30" s="11">
        <f>D30*G30</f>
        <v/>
      </c>
    </row>
    <row r="31">
      <c r="A31" t="inlineStr">
        <is>
          <t>BFP-001</t>
        </is>
      </c>
      <c r="B31" s="4" t="inlineStr">
        <is>
          <t>Buff Punticos</t>
        </is>
      </c>
      <c r="C31" s="5" t="inlineStr">
        <is>
          <t>Corto</t>
        </is>
      </c>
      <c r="D31" s="5" t="n">
        <v>7</v>
      </c>
      <c r="E31" s="6" t="n">
        <v>16000</v>
      </c>
      <c r="F31" s="6">
        <f>D31*E31</f>
        <v/>
      </c>
      <c r="G31" s="6" t="n">
        <v>25000</v>
      </c>
      <c r="H31" s="6">
        <f>D31*G31</f>
        <v/>
      </c>
    </row>
    <row r="32">
      <c r="A32" t="inlineStr">
        <is>
          <t>BFP-001</t>
        </is>
      </c>
      <c r="B32" s="9" t="inlineStr">
        <is>
          <t>Buff Punticos</t>
        </is>
      </c>
      <c r="C32" s="10" t="inlineStr">
        <is>
          <t>Largo</t>
        </is>
      </c>
      <c r="D32" s="10" t="n">
        <v>1</v>
      </c>
      <c r="E32" s="11" t="n">
        <v>25000</v>
      </c>
      <c r="F32" s="11">
        <f>D32*E32</f>
        <v/>
      </c>
      <c r="G32" s="11" t="n">
        <v>25000</v>
      </c>
      <c r="H32" s="11">
        <f>D32*G32</f>
        <v/>
      </c>
    </row>
    <row r="33">
      <c r="A33" t="inlineStr">
        <is>
          <t>HOO-001</t>
        </is>
      </c>
      <c r="B33" s="4" t="inlineStr">
        <is>
          <t>Hoodie</t>
        </is>
      </c>
      <c r="C33" s="5" t="inlineStr">
        <is>
          <t>M</t>
        </is>
      </c>
      <c r="D33" s="5" t="n">
        <v>2</v>
      </c>
      <c r="E33" s="6" t="n">
        <v>95000</v>
      </c>
      <c r="F33" s="6">
        <f>D33*E33</f>
        <v/>
      </c>
      <c r="G33" s="6" t="n">
        <v>130000</v>
      </c>
      <c r="H33" s="6">
        <f>D33*G33</f>
        <v/>
      </c>
    </row>
    <row r="34">
      <c r="E34" s="2" t="n"/>
      <c r="F34" s="7">
        <f>SUM(F3:F33)</f>
        <v/>
      </c>
      <c r="G34" s="2" t="n"/>
      <c r="H34" s="7">
        <f>SUM(H3:H33)</f>
        <v/>
      </c>
    </row>
    <row r="35">
      <c r="F35" s="3" t="n"/>
    </row>
    <row r="36"/>
    <row r="37"/>
    <row r="38"/>
    <row r="39">
      <c r="A39" t="inlineStr">
        <is>
          <t>SKU</t>
        </is>
      </c>
      <c r="B39" s="8" t="inlineStr">
        <is>
          <t>PRODUCTO</t>
        </is>
      </c>
      <c r="C39" s="8" t="inlineStr">
        <is>
          <t>TALLA</t>
        </is>
      </c>
      <c r="D39" s="8" t="inlineStr">
        <is>
          <t>CANTIDAD</t>
        </is>
      </c>
      <c r="E39" s="8" t="inlineStr">
        <is>
          <t>COSTO UNITARIO</t>
        </is>
      </c>
      <c r="F39" s="8" t="inlineStr">
        <is>
          <t>TOTAL COSTO INVENTARIO</t>
        </is>
      </c>
      <c r="G39" s="8" t="inlineStr">
        <is>
          <t>PVP</t>
        </is>
      </c>
      <c r="H39" s="8" t="inlineStr">
        <is>
          <t>PVP INVENTARIO</t>
        </is>
      </c>
    </row>
    <row r="40">
      <c r="A40" t="inlineStr">
        <is>
          <t>JAP-001</t>
        </is>
      </c>
      <c r="B40" s="4" t="inlineStr">
        <is>
          <t>Jersey Acanalado Punticos</t>
        </is>
      </c>
      <c r="C40" s="5" t="inlineStr">
        <is>
          <t>M</t>
        </is>
      </c>
      <c r="D40" s="5" t="n">
        <v>0</v>
      </c>
      <c r="E40" s="6" t="n">
        <v>90000</v>
      </c>
      <c r="F40" s="6">
        <f>D40*E40</f>
        <v/>
      </c>
      <c r="G40" s="6" t="n">
        <v>110000</v>
      </c>
      <c r="H40" s="6">
        <f>D40*G40</f>
        <v/>
      </c>
    </row>
    <row r="41">
      <c r="A41" t="inlineStr">
        <is>
          <t>JAC-001</t>
        </is>
      </c>
      <c r="B41" s="9" t="inlineStr">
        <is>
          <t>Jersey Acanalado Caballito</t>
        </is>
      </c>
      <c r="C41" s="10" t="inlineStr">
        <is>
          <t>XS</t>
        </is>
      </c>
      <c r="D41" s="10" t="n">
        <v>0</v>
      </c>
      <c r="E41" s="11" t="n">
        <v>90000</v>
      </c>
      <c r="F41" s="11">
        <f>D41*E41</f>
        <v/>
      </c>
      <c r="G41" s="11" t="n">
        <v>110000</v>
      </c>
      <c r="H41" s="11">
        <f>D41*G41</f>
        <v/>
      </c>
    </row>
    <row r="42">
      <c r="A42" t="inlineStr">
        <is>
          <t>JDC-001</t>
        </is>
      </c>
      <c r="B42" s="4" t="inlineStr">
        <is>
          <t>Jersey Dryfit Caballito</t>
        </is>
      </c>
      <c r="C42" s="5" t="inlineStr">
        <is>
          <t>M</t>
        </is>
      </c>
      <c r="D42" s="5" t="n">
        <v>0</v>
      </c>
      <c r="E42" s="6" t="n">
        <v>42000</v>
      </c>
      <c r="F42" s="6">
        <f>D42*E42</f>
        <v/>
      </c>
      <c r="G42" s="6" t="n">
        <v>70000</v>
      </c>
      <c r="H42" s="6">
        <f>D42*G42</f>
        <v/>
      </c>
    </row>
    <row r="43">
      <c r="A43" t="inlineStr">
        <is>
          <t>JMN-001</t>
        </is>
      </c>
      <c r="B43" s="9" t="inlineStr">
        <is>
          <t>Jersey Microperforado Nuevo</t>
        </is>
      </c>
      <c r="C43" s="10" t="inlineStr">
        <is>
          <t>S</t>
        </is>
      </c>
      <c r="D43" s="10" t="n">
        <v>3</v>
      </c>
      <c r="E43" s="11" t="n">
        <v>50000</v>
      </c>
      <c r="F43" s="11">
        <f>D43*E43</f>
        <v/>
      </c>
      <c r="G43" s="11" t="n">
        <v>80000</v>
      </c>
      <c r="H43" s="11">
        <f>D43*G43</f>
        <v/>
      </c>
    </row>
    <row r="44">
      <c r="A44" t="inlineStr">
        <is>
          <t>JMN-001</t>
        </is>
      </c>
      <c r="B44" s="4" t="inlineStr">
        <is>
          <t>Jersey Microperforado Nuevo</t>
        </is>
      </c>
      <c r="C44" s="5" t="inlineStr">
        <is>
          <t>M</t>
        </is>
      </c>
      <c r="D44" s="5" t="n">
        <v>4</v>
      </c>
      <c r="E44" s="6" t="n">
        <v>50000</v>
      </c>
      <c r="F44" s="6">
        <f>D44*E44</f>
        <v/>
      </c>
      <c r="G44" s="6" t="n">
        <v>80000</v>
      </c>
      <c r="H44" s="6">
        <f>D44*G44</f>
        <v/>
      </c>
    </row>
    <row r="45">
      <c r="A45" t="inlineStr">
        <is>
          <t>JMN-001</t>
        </is>
      </c>
      <c r="B45" s="9" t="inlineStr">
        <is>
          <t>Jersey Microperforado Nuevo</t>
        </is>
      </c>
      <c r="C45" s="10" t="inlineStr">
        <is>
          <t>L</t>
        </is>
      </c>
      <c r="D45" s="10" t="n">
        <v>9</v>
      </c>
      <c r="E45" s="11" t="n">
        <v>50000</v>
      </c>
      <c r="F45" s="11">
        <f>D45*E45</f>
        <v/>
      </c>
      <c r="G45" s="11" t="n">
        <v>80000</v>
      </c>
      <c r="H45" s="11">
        <f>D45*G45</f>
        <v/>
      </c>
    </row>
    <row r="46">
      <c r="A46" t="inlineStr">
        <is>
          <t>JMN-001</t>
        </is>
      </c>
      <c r="B46" s="4" t="inlineStr">
        <is>
          <t>Jersey Microperforado Nuevo</t>
        </is>
      </c>
      <c r="C46" s="5" t="inlineStr">
        <is>
          <t>XL</t>
        </is>
      </c>
      <c r="D46" s="5" t="n">
        <v>14</v>
      </c>
      <c r="E46" s="6" t="n">
        <v>50000</v>
      </c>
      <c r="F46" s="6">
        <f>D46*E46</f>
        <v/>
      </c>
      <c r="G46" s="6" t="n">
        <v>80000</v>
      </c>
      <c r="H46" s="6">
        <f>D46*G46</f>
        <v/>
      </c>
    </row>
    <row r="47">
      <c r="A47" t="inlineStr">
        <is>
          <t>JMN-001</t>
        </is>
      </c>
      <c r="B47" s="9" t="inlineStr">
        <is>
          <t>Jersey Microperforado Nuevo</t>
        </is>
      </c>
      <c r="C47" s="10" t="inlineStr">
        <is>
          <t>2XL</t>
        </is>
      </c>
      <c r="D47" s="10" t="n">
        <v>8</v>
      </c>
      <c r="E47" s="11" t="n">
        <v>54000</v>
      </c>
      <c r="F47" s="11">
        <f>D47*E47</f>
        <v/>
      </c>
      <c r="G47" s="11" t="n">
        <v>90000</v>
      </c>
      <c r="H47" s="11">
        <f>D47*G47</f>
        <v/>
      </c>
    </row>
    <row r="48">
      <c r="A48" t="inlineStr">
        <is>
          <t>JMN-001</t>
        </is>
      </c>
      <c r="B48" s="4" t="inlineStr">
        <is>
          <t>Jersey Microperforado Nuevo</t>
        </is>
      </c>
      <c r="C48" s="5" t="inlineStr">
        <is>
          <t>3XL</t>
        </is>
      </c>
      <c r="D48" s="5" t="n">
        <v>0</v>
      </c>
      <c r="E48" s="6" t="n">
        <v>54000</v>
      </c>
      <c r="F48" s="6">
        <f>D48*E48</f>
        <v/>
      </c>
      <c r="G48" s="6" t="n">
        <v>90000</v>
      </c>
      <c r="H48" s="6">
        <f>D48*G48</f>
        <v/>
      </c>
    </row>
    <row r="49">
      <c r="A49" t="inlineStr">
        <is>
          <t>JMC-001</t>
        </is>
      </c>
      <c r="B49" s="9" t="inlineStr">
        <is>
          <t>Jersey Microperforado Corto</t>
        </is>
      </c>
      <c r="C49" s="10" t="inlineStr">
        <is>
          <t>M</t>
        </is>
      </c>
      <c r="D49" s="10" t="n">
        <v>0</v>
      </c>
      <c r="E49" s="11" t="n">
        <v>48000</v>
      </c>
      <c r="F49" s="11">
        <f>D49*E49</f>
        <v/>
      </c>
      <c r="G49" s="11" t="n">
        <v>70000</v>
      </c>
      <c r="H49" s="11">
        <f>D49*G49</f>
        <v/>
      </c>
    </row>
    <row r="50">
      <c r="A50" t="inlineStr">
        <is>
          <t>JMC-001</t>
        </is>
      </c>
      <c r="B50" s="4" t="inlineStr">
        <is>
          <t>Jersey Microperforado Corto</t>
        </is>
      </c>
      <c r="C50" s="5" t="inlineStr">
        <is>
          <t>L</t>
        </is>
      </c>
      <c r="D50" s="5" t="n">
        <v>2</v>
      </c>
      <c r="E50" s="6" t="n">
        <v>48000</v>
      </c>
      <c r="F50" s="6">
        <f>D50*E50</f>
        <v/>
      </c>
      <c r="G50" s="6" t="n">
        <v>70000</v>
      </c>
      <c r="H50" s="6">
        <f>D50*G50</f>
        <v/>
      </c>
    </row>
    <row r="51">
      <c r="A51" t="inlineStr">
        <is>
          <t>JMC-001</t>
        </is>
      </c>
      <c r="B51" s="9" t="inlineStr">
        <is>
          <t>Jersey Microperforado Corto</t>
        </is>
      </c>
      <c r="C51" s="10" t="inlineStr">
        <is>
          <t>XL</t>
        </is>
      </c>
      <c r="D51" s="10" t="n">
        <v>2</v>
      </c>
      <c r="E51" s="11" t="n">
        <v>48000</v>
      </c>
      <c r="F51" s="11">
        <f>D51*E51</f>
        <v/>
      </c>
      <c r="G51" s="11" t="n">
        <v>70000</v>
      </c>
      <c r="H51" s="11">
        <f>D51*G51</f>
        <v/>
      </c>
    </row>
    <row r="52">
      <c r="A52" t="inlineStr">
        <is>
          <t>JMC-001</t>
        </is>
      </c>
      <c r="B52" s="4" t="inlineStr">
        <is>
          <t>Jersey Microperforado Corto</t>
        </is>
      </c>
      <c r="C52" s="5" t="inlineStr">
        <is>
          <t>2XL</t>
        </is>
      </c>
      <c r="D52" s="5" t="n">
        <v>6</v>
      </c>
      <c r="E52" s="6" t="n">
        <v>52000</v>
      </c>
      <c r="F52" s="6">
        <f>D52*E52</f>
        <v/>
      </c>
      <c r="G52" s="6" t="n">
        <v>80000</v>
      </c>
      <c r="H52" s="6">
        <f>D52*G52</f>
        <v/>
      </c>
    </row>
    <row r="53">
      <c r="A53" t="inlineStr">
        <is>
          <t>JMD-001</t>
        </is>
      </c>
      <c r="B53" s="9" t="inlineStr">
        <is>
          <t xml:space="preserve">Jersey Micro Corto Dama </t>
        </is>
      </c>
      <c r="C53" s="10" t="inlineStr">
        <is>
          <t>S</t>
        </is>
      </c>
      <c r="D53" s="10" t="n">
        <v>1</v>
      </c>
      <c r="E53" s="11" t="n">
        <v>48000</v>
      </c>
      <c r="F53" s="11">
        <f>D53*E53</f>
        <v/>
      </c>
      <c r="G53" s="11" t="n">
        <v>70000</v>
      </c>
      <c r="H53" s="11">
        <f>D53*G53</f>
        <v/>
      </c>
    </row>
    <row r="54">
      <c r="A54" t="inlineStr">
        <is>
          <t>JMD-001</t>
        </is>
      </c>
      <c r="B54" s="4" t="inlineStr">
        <is>
          <t xml:space="preserve">Jersey Micro Corto Dama </t>
        </is>
      </c>
      <c r="C54" s="5" t="inlineStr">
        <is>
          <t>M</t>
        </is>
      </c>
      <c r="D54" s="5" t="n">
        <v>2</v>
      </c>
      <c r="E54" s="6" t="n">
        <v>48000</v>
      </c>
      <c r="F54" s="6">
        <f>D54*E54</f>
        <v/>
      </c>
      <c r="G54" s="6" t="n">
        <v>70000</v>
      </c>
      <c r="H54" s="6">
        <f>D54*G54</f>
        <v/>
      </c>
    </row>
    <row r="55">
      <c r="A55" t="inlineStr">
        <is>
          <t>CAT-001</t>
        </is>
      </c>
      <c r="B55" s="9" t="inlineStr">
        <is>
          <t>Camiseta Atardecer</t>
        </is>
      </c>
      <c r="C55" s="10" t="inlineStr">
        <is>
          <t>L</t>
        </is>
      </c>
      <c r="D55" s="10" t="n">
        <v>0</v>
      </c>
      <c r="E55" s="11" t="n">
        <v>45000</v>
      </c>
      <c r="F55" s="11">
        <f>D55*E55</f>
        <v/>
      </c>
      <c r="G55" s="11" t="n">
        <v>70000</v>
      </c>
      <c r="H55" s="11">
        <f>D55*G55</f>
        <v/>
      </c>
    </row>
    <row r="56">
      <c r="A56" t="inlineStr">
        <is>
          <t>CAT-001</t>
        </is>
      </c>
      <c r="B56" s="4" t="inlineStr">
        <is>
          <t>Camiseta Atardecer</t>
        </is>
      </c>
      <c r="C56" s="5" t="inlineStr">
        <is>
          <t>XL</t>
        </is>
      </c>
      <c r="D56" s="5" t="n">
        <v>2</v>
      </c>
      <c r="E56" s="6" t="n">
        <v>45000</v>
      </c>
      <c r="F56" s="6">
        <f>D56*E56</f>
        <v/>
      </c>
      <c r="G56" s="6" t="n">
        <v>70000</v>
      </c>
      <c r="H56" s="6">
        <f>D56*G56</f>
        <v/>
      </c>
    </row>
    <row r="57">
      <c r="A57" t="inlineStr">
        <is>
          <t>CAT-001</t>
        </is>
      </c>
      <c r="B57" s="9" t="inlineStr">
        <is>
          <t>Camiseta Atardecer</t>
        </is>
      </c>
      <c r="C57" s="10" t="inlineStr">
        <is>
          <t>2XL</t>
        </is>
      </c>
      <c r="D57" s="10" t="n">
        <v>1</v>
      </c>
      <c r="E57" s="11" t="n">
        <v>50000</v>
      </c>
      <c r="F57" s="11">
        <f>D57*E57</f>
        <v/>
      </c>
      <c r="G57" s="11" t="n">
        <v>80000</v>
      </c>
      <c r="H57" s="11">
        <f>D57*G57</f>
        <v/>
      </c>
    </row>
    <row r="58">
      <c r="A58" t="inlineStr">
        <is>
          <t>CAT-001</t>
        </is>
      </c>
      <c r="B58" s="4" t="inlineStr">
        <is>
          <t>Camiseta Atardecer</t>
        </is>
      </c>
      <c r="C58" s="5" t="inlineStr">
        <is>
          <t>3XL</t>
        </is>
      </c>
      <c r="D58" s="5" t="n">
        <v>1</v>
      </c>
      <c r="E58" s="6" t="n">
        <v>50000</v>
      </c>
      <c r="F58" s="6">
        <f>D58*E58</f>
        <v/>
      </c>
      <c r="G58" s="6" t="n">
        <v>80000</v>
      </c>
      <c r="H58" s="6">
        <f>D58*G58</f>
        <v/>
      </c>
    </row>
    <row r="59">
      <c r="A59" t="inlineStr">
        <is>
          <t>CMU-001</t>
        </is>
      </c>
      <c r="B59" s="9" t="inlineStr">
        <is>
          <t>Camiseta Multipropósito</t>
        </is>
      </c>
      <c r="C59" s="10" t="inlineStr">
        <is>
          <t>L</t>
        </is>
      </c>
      <c r="D59" s="10" t="n">
        <v>0</v>
      </c>
      <c r="E59" s="11" t="n">
        <v>45000</v>
      </c>
      <c r="F59" s="11">
        <f>D59*E59</f>
        <v/>
      </c>
      <c r="G59" s="11" t="n">
        <v>70000</v>
      </c>
      <c r="H59" s="11">
        <f>D59*G59</f>
        <v/>
      </c>
    </row>
    <row r="60">
      <c r="A60" t="inlineStr">
        <is>
          <t>CMU-001</t>
        </is>
      </c>
      <c r="B60" s="4" t="inlineStr">
        <is>
          <t>Camiseta Multipropósito</t>
        </is>
      </c>
      <c r="C60" s="5" t="inlineStr">
        <is>
          <t>XL</t>
        </is>
      </c>
      <c r="D60" s="5" t="n">
        <v>0</v>
      </c>
      <c r="E60" s="6" t="n">
        <v>45000</v>
      </c>
      <c r="F60" s="6">
        <f>D60*E60</f>
        <v/>
      </c>
      <c r="G60" s="6" t="n">
        <v>70000</v>
      </c>
      <c r="H60" s="6">
        <f>D60*G60</f>
        <v/>
      </c>
    </row>
    <row r="61">
      <c r="A61" t="inlineStr">
        <is>
          <t>CCH-001</t>
        </is>
      </c>
      <c r="B61" s="9" t="inlineStr">
        <is>
          <t>Camiseta Chamey</t>
        </is>
      </c>
      <c r="C61" s="10" t="inlineStr">
        <is>
          <t>XL</t>
        </is>
      </c>
      <c r="D61" s="10" t="n">
        <v>0</v>
      </c>
      <c r="E61" s="11" t="n">
        <v>45000</v>
      </c>
      <c r="F61" s="11">
        <f>D61*E61</f>
        <v/>
      </c>
      <c r="G61" s="11" t="n">
        <v>70000</v>
      </c>
      <c r="H61" s="11">
        <f>D61*G61</f>
        <v/>
      </c>
    </row>
    <row r="62">
      <c r="A62" t="inlineStr">
        <is>
          <t>CCH-001</t>
        </is>
      </c>
      <c r="B62" s="4" t="inlineStr">
        <is>
          <t>Camiseta Chamey</t>
        </is>
      </c>
      <c r="C62" s="5" t="inlineStr">
        <is>
          <t>2XL</t>
        </is>
      </c>
      <c r="D62" s="5" t="n">
        <v>0</v>
      </c>
      <c r="E62" s="6" t="n">
        <v>50000</v>
      </c>
      <c r="F62" s="6">
        <f>D62*E62</f>
        <v/>
      </c>
      <c r="G62" s="6" t="n">
        <v>80000</v>
      </c>
      <c r="H62" s="6">
        <f>D62*G62</f>
        <v/>
      </c>
    </row>
    <row r="63">
      <c r="A63" t="inlineStr">
        <is>
          <t>GPL-001</t>
        </is>
      </c>
      <c r="B63" s="9" t="inlineStr">
        <is>
          <t>Gorra Placa</t>
        </is>
      </c>
      <c r="C63" s="10" t="inlineStr">
        <is>
          <t>N/A</t>
        </is>
      </c>
      <c r="D63" s="10" t="n">
        <v>13</v>
      </c>
      <c r="E63" s="11" t="n">
        <v>48000</v>
      </c>
      <c r="F63" s="11">
        <f>D63*E63</f>
        <v/>
      </c>
      <c r="G63" s="11" t="n">
        <v>55000</v>
      </c>
      <c r="H63" s="11">
        <f>D63*G63</f>
        <v/>
      </c>
    </row>
    <row r="64">
      <c r="A64" t="inlineStr">
        <is>
          <t>GPU-001</t>
        </is>
      </c>
      <c r="B64" s="4" t="inlineStr">
        <is>
          <t>Gorra Punticos</t>
        </is>
      </c>
      <c r="C64" s="5" t="inlineStr">
        <is>
          <t>N/A</t>
        </is>
      </c>
      <c r="D64" s="5" t="n">
        <v>30</v>
      </c>
      <c r="E64" s="6" t="n">
        <v>35000</v>
      </c>
      <c r="F64" s="6">
        <f>D64*E64</f>
        <v/>
      </c>
      <c r="G64" s="6" t="n">
        <v>45000</v>
      </c>
      <c r="H64" s="6">
        <f>D64*G64</f>
        <v/>
      </c>
    </row>
    <row r="65">
      <c r="A65" t="inlineStr">
        <is>
          <t>BIL-001</t>
        </is>
      </c>
      <c r="B65" s="9" t="inlineStr">
        <is>
          <t>Billetera Antirrobo</t>
        </is>
      </c>
      <c r="C65" s="10" t="inlineStr">
        <is>
          <t>N/A</t>
        </is>
      </c>
      <c r="D65" s="10" t="n">
        <v>0</v>
      </c>
      <c r="E65" s="11" t="n">
        <v>32000</v>
      </c>
      <c r="F65" s="11">
        <f>D65*E65</f>
        <v/>
      </c>
      <c r="G65" s="11" t="n">
        <v>60000</v>
      </c>
      <c r="H65" s="11">
        <f>D65*G65</f>
        <v/>
      </c>
    </row>
    <row r="66">
      <c r="A66" t="inlineStr">
        <is>
          <t>MOR-001</t>
        </is>
      </c>
      <c r="B66" s="4" t="inlineStr">
        <is>
          <t>Morral 10Lts</t>
        </is>
      </c>
      <c r="C66" s="5" t="inlineStr">
        <is>
          <t>N/A</t>
        </is>
      </c>
      <c r="D66" s="5" t="n">
        <v>2</v>
      </c>
      <c r="E66" s="6" t="n">
        <v>45000</v>
      </c>
      <c r="F66" s="6">
        <f>D66*E66</f>
        <v/>
      </c>
      <c r="G66" s="6" t="n">
        <v>60000</v>
      </c>
      <c r="H66" s="6">
        <f>D66*G66</f>
        <v/>
      </c>
    </row>
    <row r="67">
      <c r="A67" t="inlineStr">
        <is>
          <t>BAN-001</t>
        </is>
      </c>
      <c r="B67" s="9" t="inlineStr">
        <is>
          <t>Banderín</t>
        </is>
      </c>
      <c r="C67" s="10" t="inlineStr">
        <is>
          <t>N/A</t>
        </is>
      </c>
      <c r="D67" s="10" t="n">
        <v>10</v>
      </c>
      <c r="E67" s="11" t="n">
        <v>21000</v>
      </c>
      <c r="F67" s="11">
        <f>D67*E67</f>
        <v/>
      </c>
      <c r="G67" s="11" t="n">
        <v>35000</v>
      </c>
      <c r="H67" s="11">
        <f>D67*G67</f>
        <v/>
      </c>
    </row>
    <row r="68">
      <c r="A68" t="inlineStr">
        <is>
          <t>PAR-001</t>
        </is>
      </c>
      <c r="B68" s="4" t="inlineStr">
        <is>
          <t>Parches</t>
        </is>
      </c>
      <c r="C68" s="5" t="inlineStr">
        <is>
          <t>N/A</t>
        </is>
      </c>
      <c r="D68" s="5" t="n">
        <v>22</v>
      </c>
      <c r="E68" s="6" t="n">
        <v>8000</v>
      </c>
      <c r="F68" s="6">
        <f>D68*E68</f>
        <v/>
      </c>
      <c r="G68" s="6" t="n">
        <v>15000</v>
      </c>
      <c r="H68" s="6">
        <f>D68*G68</f>
        <v/>
      </c>
    </row>
    <row r="69">
      <c r="A69" t="inlineStr">
        <is>
          <t>CDU-001</t>
        </is>
      </c>
      <c r="B69" s="9" t="inlineStr">
        <is>
          <t>Calca DTF-UV</t>
        </is>
      </c>
      <c r="C69" s="10" t="inlineStr">
        <is>
          <t>Pequeña</t>
        </is>
      </c>
      <c r="D69" s="10" t="n">
        <v>37</v>
      </c>
      <c r="E69" s="11" t="n">
        <v>1181</v>
      </c>
      <c r="F69" s="11">
        <f>D69*E69</f>
        <v/>
      </c>
      <c r="G69" s="11" t="n">
        <v>2500</v>
      </c>
      <c r="H69" s="11">
        <f>D69*G69</f>
        <v/>
      </c>
    </row>
    <row r="70">
      <c r="A70" t="inlineStr">
        <is>
          <t>CDU-001</t>
        </is>
      </c>
      <c r="B70" s="4" t="inlineStr">
        <is>
          <t>Calca DTF-UV</t>
        </is>
      </c>
      <c r="C70" s="5" t="inlineStr">
        <is>
          <t>Grande</t>
        </is>
      </c>
      <c r="D70" s="5" t="n">
        <v>2</v>
      </c>
      <c r="E70" s="6" t="n">
        <v>8333</v>
      </c>
      <c r="F70" s="6">
        <f>D70*E70</f>
        <v/>
      </c>
      <c r="G70" s="6" t="n">
        <v>20000</v>
      </c>
      <c r="H70" s="6">
        <f>D70*G70</f>
        <v/>
      </c>
    </row>
    <row r="71">
      <c r="A71" t="inlineStr">
        <is>
          <t>PIN-001</t>
        </is>
      </c>
      <c r="B71" s="9" t="inlineStr">
        <is>
          <t>Pines</t>
        </is>
      </c>
      <c r="C71" s="10" t="inlineStr">
        <is>
          <t>N/A</t>
        </is>
      </c>
      <c r="D71" s="10" t="n">
        <v>23</v>
      </c>
      <c r="E71" s="11" t="n">
        <v>10000</v>
      </c>
      <c r="F71" s="11">
        <f>D71*E71</f>
        <v/>
      </c>
      <c r="G71" s="11" t="n">
        <v>20000</v>
      </c>
      <c r="H71" s="11">
        <f>D71*G71</f>
        <v/>
      </c>
    </row>
    <row r="72">
      <c r="A72" t="inlineStr">
        <is>
          <t>BFN-001</t>
        </is>
      </c>
      <c r="B72" s="4" t="inlineStr">
        <is>
          <t>Buff Nuevo</t>
        </is>
      </c>
      <c r="C72" s="5" t="inlineStr">
        <is>
          <t>Corto</t>
        </is>
      </c>
      <c r="D72" s="5" t="n">
        <v>12</v>
      </c>
      <c r="E72" s="6" t="n">
        <v>16000</v>
      </c>
      <c r="F72" s="6">
        <f>D72*E72</f>
        <v/>
      </c>
      <c r="G72" s="6" t="n">
        <v>25000</v>
      </c>
      <c r="H72" s="6">
        <f>D72*G72</f>
        <v/>
      </c>
    </row>
    <row r="73">
      <c r="A73" t="inlineStr">
        <is>
          <t>BFN-001</t>
        </is>
      </c>
      <c r="B73" s="9" t="inlineStr">
        <is>
          <t>Buff Nuevo</t>
        </is>
      </c>
      <c r="C73" s="10" t="inlineStr">
        <is>
          <t>Largo</t>
        </is>
      </c>
      <c r="D73" s="10" t="n">
        <v>8</v>
      </c>
      <c r="E73" s="11" t="n">
        <v>25000</v>
      </c>
      <c r="F73" s="11">
        <f>D73*E73</f>
        <v/>
      </c>
      <c r="G73" s="11" t="n">
        <v>35000</v>
      </c>
      <c r="H73" s="11">
        <f>D73*G73</f>
        <v/>
      </c>
    </row>
    <row r="74">
      <c r="A74" t="inlineStr">
        <is>
          <t>BFP-001</t>
        </is>
      </c>
      <c r="B74" s="4" t="inlineStr">
        <is>
          <t>Buff Punticos</t>
        </is>
      </c>
      <c r="C74" s="5" t="inlineStr">
        <is>
          <t>Corto</t>
        </is>
      </c>
      <c r="D74" s="5" t="n">
        <v>0</v>
      </c>
      <c r="E74" s="6" t="n">
        <v>16000</v>
      </c>
      <c r="F74" s="6">
        <f>D74*E74</f>
        <v/>
      </c>
      <c r="G74" s="6" t="n">
        <v>25000</v>
      </c>
      <c r="H74" s="6">
        <f>D74*G74</f>
        <v/>
      </c>
    </row>
    <row r="75">
      <c r="A75" t="inlineStr">
        <is>
          <t>BFP-001</t>
        </is>
      </c>
      <c r="B75" s="9" t="inlineStr">
        <is>
          <t>Buff Punticos</t>
        </is>
      </c>
      <c r="C75" s="10" t="inlineStr">
        <is>
          <t>Largo</t>
        </is>
      </c>
      <c r="D75" s="10" t="n">
        <v>0</v>
      </c>
      <c r="E75" s="11" t="n">
        <v>25000</v>
      </c>
      <c r="F75" s="11">
        <f>D75*E75</f>
        <v/>
      </c>
      <c r="G75" s="11" t="n">
        <v>25000</v>
      </c>
      <c r="H75" s="11">
        <f>D75*G75</f>
        <v/>
      </c>
    </row>
    <row r="76">
      <c r="A76" t="inlineStr">
        <is>
          <t>HOO-001</t>
        </is>
      </c>
      <c r="B76" s="4" t="inlineStr">
        <is>
          <t>Hoodie</t>
        </is>
      </c>
      <c r="C76" s="5" t="inlineStr">
        <is>
          <t>M</t>
        </is>
      </c>
      <c r="D76" s="5" t="n">
        <v>1</v>
      </c>
      <c r="E76" s="6" t="n">
        <v>95000</v>
      </c>
      <c r="F76" s="6">
        <f>D76*E76</f>
        <v/>
      </c>
      <c r="G76" s="6" t="n">
        <v>130000</v>
      </c>
      <c r="H76" s="6">
        <f>D76*G76</f>
        <v/>
      </c>
    </row>
    <row r="77">
      <c r="A77" t="inlineStr">
        <is>
          <t>PAN-001</t>
        </is>
      </c>
      <c r="B77" s="9" t="inlineStr">
        <is>
          <t>Pañoleta puntos</t>
        </is>
      </c>
      <c r="C77" s="10" t="inlineStr">
        <is>
          <t>50 cm</t>
        </is>
      </c>
      <c r="D77" s="10" t="n">
        <v>21</v>
      </c>
      <c r="E77" s="11" t="n">
        <v>16000</v>
      </c>
      <c r="F77" s="11">
        <f>D77*E77</f>
        <v/>
      </c>
      <c r="G77" s="11" t="n">
        <v>25000</v>
      </c>
      <c r="H77" s="11">
        <f>D77*G77</f>
        <v/>
      </c>
    </row>
    <row r="78">
      <c r="A78" t="inlineStr">
        <is>
          <t>GBO-001</t>
        </is>
      </c>
      <c r="B78" s="14" t="inlineStr">
        <is>
          <t>Gorras bordadas</t>
        </is>
      </c>
      <c r="C78" s="15" t="inlineStr">
        <is>
          <t>N/A</t>
        </is>
      </c>
      <c r="D78" s="15" t="n">
        <v>23</v>
      </c>
      <c r="E78" s="12" t="n">
        <v>38000</v>
      </c>
      <c r="F78" s="12">
        <f>D78*E78</f>
        <v/>
      </c>
      <c r="G78" s="12" t="n">
        <v>60000</v>
      </c>
      <c r="H78" s="12">
        <f>D78*G78</f>
        <v/>
      </c>
    </row>
    <row r="79">
      <c r="E79" s="2" t="n"/>
      <c r="F79" s="13">
        <f>SUM(F40:F78)</f>
        <v/>
      </c>
      <c r="G79" s="2" t="n"/>
      <c r="H79" s="13">
        <f>SUM(H40:H78)</f>
        <v/>
      </c>
    </row>
    <row r="80"/>
    <row r="81"/>
    <row r="82"/>
    <row r="83"/>
    <row r="84"/>
    <row r="85">
      <c r="B85" s="17" t="inlineStr">
        <is>
          <t>Total ventas: $1.565.000</t>
        </is>
      </c>
    </row>
    <row r="86"/>
    <row r="87">
      <c r="B87" s="18" t="inlineStr">
        <is>
          <t>Cartera por cobrar: $380.000</t>
        </is>
      </c>
    </row>
    <row r="88">
      <c r="B88" s="18" t="n"/>
    </row>
    <row r="89"/>
    <row r="90">
      <c r="A90" t="inlineStr">
        <is>
          <t xml:space="preserve"> </t>
        </is>
      </c>
    </row>
    <row r="91"/>
    <row r="92"/>
    <row r="93"/>
    <row r="94"/>
    <row r="95"/>
    <row r="96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Cesar Mendoza</dc:creator>
  <dcterms:created xmlns:dcterms="http://purl.org/dc/terms/" xmlns:xsi="http://www.w3.org/2001/XMLSchema-instance" xsi:type="dcterms:W3CDTF">2025-09-01T04:43:22Z</dcterms:created>
  <dcterms:modified xmlns:dcterms="http://purl.org/dc/terms/" xmlns:xsi="http://www.w3.org/2001/XMLSchema-instance" xsi:type="dcterms:W3CDTF">2026-08-01T22:02:12Z</dcterms:modified>
  <cp:lastModifiedBy>tadu1989@gmail.com</cp:lastModifiedBy>
</cp:coreProperties>
</file>